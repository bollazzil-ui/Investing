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6b576cb9a5aa57/Documents/Investing/"/>
    </mc:Choice>
  </mc:AlternateContent>
  <xr:revisionPtr revIDLastSave="216" documentId="8_{91448E32-6AB6-4167-B9EE-6FFB217D77A9}" xr6:coauthVersionLast="47" xr6:coauthVersionMax="47" xr10:uidLastSave="{E87774C2-4A77-4D8C-97C7-57BB328AB4E6}"/>
  <bookViews>
    <workbookView xWindow="-98" yWindow="-98" windowWidth="20715" windowHeight="13276" xr2:uid="{D316B484-B69F-4128-8061-B8D327F92782}"/>
  </bookViews>
  <sheets>
    <sheet name="Aufteilungsrechn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3" l="1"/>
  <c r="H16" i="3"/>
  <c r="E8" i="3"/>
  <c r="E7" i="3" s="1"/>
  <c r="E20" i="3"/>
  <c r="E21" i="3"/>
  <c r="E19" i="3"/>
  <c r="D9" i="3"/>
  <c r="F6" i="3" s="1"/>
  <c r="Q6" i="3" l="1"/>
  <c r="F8" i="3"/>
  <c r="F7" i="3"/>
  <c r="E9" i="3"/>
  <c r="F9" i="3" l="1"/>
  <c r="Q8" i="3"/>
  <c r="Q11" i="3" s="1"/>
  <c r="E14" i="3" s="1"/>
  <c r="Q9" i="3"/>
  <c r="Q12" i="3" s="1"/>
  <c r="E15" i="3" s="1"/>
  <c r="Q10" i="3"/>
  <c r="E13" i="3" s="1"/>
  <c r="Q21" i="3" l="1"/>
  <c r="E26" i="3" s="1"/>
  <c r="D15" i="3"/>
  <c r="E16" i="3"/>
  <c r="D13" i="3"/>
  <c r="Q19" i="3"/>
  <c r="E24" i="3" s="1"/>
  <c r="D14" i="3"/>
  <c r="Q20" i="3"/>
  <c r="E25" i="3" s="1"/>
  <c r="D16" i="3" l="1"/>
  <c r="G25" i="3"/>
  <c r="H25" i="3" s="1"/>
  <c r="F25" i="3"/>
  <c r="G26" i="3"/>
  <c r="F26" i="3"/>
  <c r="G24" i="3"/>
  <c r="D24" i="3" s="1"/>
  <c r="F24" i="3"/>
  <c r="H24" i="3"/>
  <c r="D25" i="3" l="1"/>
  <c r="G27" i="3"/>
  <c r="H26" i="3"/>
  <c r="D26" i="3"/>
  <c r="F14" i="3"/>
  <c r="F13" i="3"/>
  <c r="F15" i="3"/>
  <c r="D27" i="3" l="1"/>
  <c r="I24" i="3" s="1"/>
  <c r="F16" i="3"/>
  <c r="I25" i="3" l="1"/>
  <c r="I26" i="3"/>
  <c r="I27" i="3" l="1"/>
</calcChain>
</file>

<file path=xl/sharedStrings.xml><?xml version="1.0" encoding="utf-8"?>
<sst xmlns="http://schemas.openxmlformats.org/spreadsheetml/2006/main" count="42" uniqueCount="30">
  <si>
    <t>TotalWert CHF</t>
  </si>
  <si>
    <t>EIMI</t>
  </si>
  <si>
    <t>SWDA</t>
  </si>
  <si>
    <t>Summe</t>
  </si>
  <si>
    <t>Liquider Teil</t>
  </si>
  <si>
    <t>EIMI Neu</t>
  </si>
  <si>
    <t>SWDA Neu</t>
  </si>
  <si>
    <t>Actual percentage</t>
  </si>
  <si>
    <t>Target perc</t>
  </si>
  <si>
    <t>Sum tobe added</t>
  </si>
  <si>
    <t>→</t>
  </si>
  <si>
    <t>Stück Preis CHF</t>
  </si>
  <si>
    <t>Anzahl Stück</t>
  </si>
  <si>
    <t>New Sum</t>
  </si>
  <si>
    <t>Total Stück</t>
  </si>
  <si>
    <t>Summe Neu</t>
  </si>
  <si>
    <t>New Sum USD</t>
  </si>
  <si>
    <t>IUSN </t>
  </si>
  <si>
    <t>ISUN</t>
  </si>
  <si>
    <t>ISUN Neu</t>
  </si>
  <si>
    <t>WechselKurs USD</t>
  </si>
  <si>
    <t>WechselKurs EUR</t>
  </si>
  <si>
    <t>Stück Preis USD/EUR</t>
  </si>
  <si>
    <t>Soll</t>
  </si>
  <si>
    <t>Gesamt</t>
  </si>
  <si>
    <t>Diff zu Soll</t>
  </si>
  <si>
    <t>MSCI small caps Aufteilung in %:</t>
  </si>
  <si>
    <t>Industrieländer zu EM in %:</t>
  </si>
  <si>
    <t>Stück im Besitz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</si>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</sst>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CHF&quot;\ #,##0.00"/>
    <numFmt numFmtId="165" formatCode="_ [$USD]\ * #,##0.00_ ;_ [$USD]\ * \-#,##0.00_ ;_ [$USD]\ * &quot;-&quot;??_ ;_ @_ "/>
    <numFmt numFmtId="166" formatCode="0.0%"/>
    <numFmt numFmtId="167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36363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9" fontId="0" fillId="0" borderId="0" xfId="1" applyFont="1"/>
    <xf numFmtId="164" fontId="0" fillId="2" borderId="1" xfId="0" applyNumberFormat="1" applyFill="1" applyBorder="1"/>
    <xf numFmtId="0" fontId="2" fillId="0" borderId="0" xfId="0" applyFont="1"/>
    <xf numFmtId="0" fontId="0" fillId="3" borderId="1" xfId="0" applyFill="1" applyBorder="1"/>
    <xf numFmtId="165" fontId="0" fillId="0" borderId="0" xfId="0" applyNumberFormat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164" fontId="0" fillId="0" borderId="2" xfId="0" applyNumberFormat="1" applyBorder="1"/>
    <xf numFmtId="166" fontId="0" fillId="0" borderId="0" xfId="1" applyNumberFormat="1" applyFont="1"/>
    <xf numFmtId="165" fontId="0" fillId="3" borderId="1" xfId="0" applyNumberFormat="1" applyFill="1" applyBorder="1"/>
    <xf numFmtId="167" fontId="0" fillId="3" borderId="1" xfId="0" applyNumberFormat="1" applyFill="1" applyBorder="1"/>
    <xf numFmtId="166" fontId="0" fillId="0" borderId="3" xfId="1" applyNumberFormat="1" applyFont="1" applyBorder="1"/>
    <xf numFmtId="166" fontId="0" fillId="0" borderId="2" xfId="1" applyNumberFormat="1" applyFont="1" applyBorder="1"/>
    <xf numFmtId="164" fontId="0" fillId="2" borderId="4" xfId="0" applyNumberForma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F116-EE2E-4500-811C-E8778527B069}">
  <dimension ref="C2:Q28"/>
  <sheetViews>
    <sheetView tabSelected="1" topLeftCell="B1" workbookViewId="0">
      <selection activeCell="Q8" sqref="Q8"/>
    </sheetView>
  </sheetViews>
  <sheetFormatPr baseColWidth="10" defaultRowHeight="14.25" x14ac:dyDescent="0.45"/>
  <cols>
    <col min="4" max="4" width="19.06640625" customWidth="1"/>
    <col min="5" max="5" width="13.53125" bestFit="1" customWidth="1"/>
    <col min="6" max="6" width="15" bestFit="1" customWidth="1"/>
    <col min="7" max="7" width="11.19921875" bestFit="1" customWidth="1"/>
    <col min="8" max="9" width="14.53125" bestFit="1" customWidth="1"/>
    <col min="17" max="17" width="12.19921875" bestFit="1" customWidth="1"/>
  </cols>
  <sheetData>
    <row r="2" spans="3:17" x14ac:dyDescent="0.45">
      <c r="C2" t="s">
        <v>26</v>
      </c>
      <c r="E2" s="3">
        <v>0.14000000000000001</v>
      </c>
    </row>
    <row r="3" spans="3:17" x14ac:dyDescent="0.45">
      <c r="C3" t="s">
        <v>27</v>
      </c>
      <c r="E3" s="3">
        <v>0.7</v>
      </c>
    </row>
    <row r="5" spans="3:17" x14ac:dyDescent="0.45">
      <c r="D5" t="s">
        <v>0</v>
      </c>
      <c r="E5" t="s">
        <v>8</v>
      </c>
      <c r="F5" t="s">
        <v>7</v>
      </c>
      <c r="H5" t="s">
        <v>20</v>
      </c>
      <c r="I5" t="s">
        <v>21</v>
      </c>
    </row>
    <row r="6" spans="3:17" x14ac:dyDescent="0.45">
      <c r="C6" t="s">
        <v>1</v>
      </c>
      <c r="D6" s="3">
        <v>13714.73</v>
      </c>
      <c r="E6" s="11">
        <v>0.3</v>
      </c>
      <c r="F6" s="11">
        <f>1/D9*D6</f>
        <v>0.30186275990091926</v>
      </c>
      <c r="H6" s="5">
        <v>0.85050000000000003</v>
      </c>
      <c r="I6" s="5">
        <v>0.93149999999999999</v>
      </c>
      <c r="P6" t="s">
        <v>24</v>
      </c>
      <c r="Q6" s="1">
        <f>D11+D9-H16</f>
        <v>45646.060000000005</v>
      </c>
    </row>
    <row r="7" spans="3:17" x14ac:dyDescent="0.45">
      <c r="C7" t="s">
        <v>2</v>
      </c>
      <c r="D7" s="3">
        <v>27285.38</v>
      </c>
      <c r="E7" s="11">
        <f>E3-E8</f>
        <v>0.60297999999999996</v>
      </c>
      <c r="F7" s="11">
        <f>1/D9*D7</f>
        <v>0.60055430269100052</v>
      </c>
      <c r="P7" t="s">
        <v>23</v>
      </c>
      <c r="Q7" s="1">
        <f>$Q$6*E6</f>
        <v>13693.818000000001</v>
      </c>
    </row>
    <row r="8" spans="3:17" ht="14.65" thickBot="1" x14ac:dyDescent="0.5">
      <c r="C8" t="s">
        <v>17</v>
      </c>
      <c r="D8" s="3">
        <v>4433.55</v>
      </c>
      <c r="E8" s="14">
        <f>(0.99/1*E2)*E3</f>
        <v>9.7019999999999995E-2</v>
      </c>
      <c r="F8" s="15">
        <f>1/D9*D8</f>
        <v>9.7582937408080273E-2</v>
      </c>
      <c r="P8" t="s">
        <v>23</v>
      </c>
      <c r="Q8" s="1">
        <f t="shared" ref="Q8:Q9" si="0">$Q$6*E7</f>
        <v>27523.661258800003</v>
      </c>
    </row>
    <row r="9" spans="3:17" x14ac:dyDescent="0.45">
      <c r="C9" t="s">
        <v>3</v>
      </c>
      <c r="D9" s="1">
        <f>SUM(D6:D8)</f>
        <v>45433.66</v>
      </c>
      <c r="E9" s="2">
        <f>SUM(E6:E8)</f>
        <v>0.99999999999999989</v>
      </c>
      <c r="F9" s="2">
        <f>SUM(F6:F8)</f>
        <v>1</v>
      </c>
      <c r="P9" t="s">
        <v>23</v>
      </c>
      <c r="Q9" s="1">
        <f t="shared" si="0"/>
        <v>4428.5807412000004</v>
      </c>
    </row>
    <row r="10" spans="3:17" x14ac:dyDescent="0.45">
      <c r="L10" s="7"/>
      <c r="O10" s="4" t="s">
        <v>10</v>
      </c>
      <c r="P10" t="s">
        <v>25</v>
      </c>
      <c r="Q10" s="1">
        <f>Q7-D6</f>
        <v>-20.911999999998443</v>
      </c>
    </row>
    <row r="11" spans="3:17" x14ac:dyDescent="0.45">
      <c r="C11" t="s">
        <v>4</v>
      </c>
      <c r="D11" s="3">
        <v>290.39999999999998</v>
      </c>
      <c r="E11" t="s">
        <v>9</v>
      </c>
      <c r="H11" t="s">
        <v>29</v>
      </c>
      <c r="P11" t="s">
        <v>25</v>
      </c>
      <c r="Q11" s="1">
        <f t="shared" ref="Q11:Q12" si="1">Q8-D7</f>
        <v>238.28125880000152</v>
      </c>
    </row>
    <row r="12" spans="3:17" x14ac:dyDescent="0.45">
      <c r="P12" t="s">
        <v>25</v>
      </c>
      <c r="Q12" s="1">
        <f t="shared" si="1"/>
        <v>-4.9692587999998068</v>
      </c>
    </row>
    <row r="13" spans="3:17" x14ac:dyDescent="0.45">
      <c r="C13" t="s">
        <v>5</v>
      </c>
      <c r="D13" s="1">
        <f>E13+D6</f>
        <v>13693.818000000001</v>
      </c>
      <c r="E13" s="1">
        <f>Q10</f>
        <v>-20.911999999998443</v>
      </c>
      <c r="F13" s="11">
        <f>1/D16*D13</f>
        <v>0.3</v>
      </c>
      <c r="H13" s="3">
        <v>20</v>
      </c>
      <c r="I13" s="1"/>
      <c r="K13" s="2"/>
      <c r="Q13" s="1"/>
    </row>
    <row r="14" spans="3:17" x14ac:dyDescent="0.45">
      <c r="C14" t="s">
        <v>6</v>
      </c>
      <c r="D14" s="1">
        <f>E14+D7</f>
        <v>27523.661258800003</v>
      </c>
      <c r="E14" s="1">
        <f t="shared" ref="E14:E15" si="2">Q11</f>
        <v>238.28125880000152</v>
      </c>
      <c r="F14" s="11">
        <f>1/D16*D14</f>
        <v>0.60297999999999996</v>
      </c>
      <c r="H14" s="3">
        <v>20</v>
      </c>
      <c r="I14" s="1"/>
      <c r="K14" s="2"/>
    </row>
    <row r="15" spans="3:17" ht="14.65" thickBot="1" x14ac:dyDescent="0.5">
      <c r="C15" t="s">
        <v>19</v>
      </c>
      <c r="D15" s="10">
        <f>D8+E15</f>
        <v>4428.5807412000004</v>
      </c>
      <c r="E15" s="10">
        <f t="shared" si="2"/>
        <v>-4.9692587999998068</v>
      </c>
      <c r="F15" s="15">
        <f>1/D16*D15</f>
        <v>9.7019999999999995E-2</v>
      </c>
      <c r="H15" s="16">
        <v>38</v>
      </c>
      <c r="I15" s="1"/>
      <c r="K15" s="2"/>
    </row>
    <row r="16" spans="3:17" x14ac:dyDescent="0.45">
      <c r="C16" t="s">
        <v>3</v>
      </c>
      <c r="D16" s="1">
        <f>SUM(D13:D15)</f>
        <v>45646.060000000005</v>
      </c>
      <c r="E16" s="1">
        <f>SUM(E13:E15)</f>
        <v>212.40000000000327</v>
      </c>
      <c r="F16" s="8">
        <f>SUM(F13:F15)</f>
        <v>0.99999999999999989</v>
      </c>
      <c r="H16" s="1">
        <f>SUM(H13:H15)</f>
        <v>78</v>
      </c>
    </row>
    <row r="18" spans="3:17" x14ac:dyDescent="0.45">
      <c r="D18" t="s">
        <v>22</v>
      </c>
      <c r="E18" t="s">
        <v>11</v>
      </c>
      <c r="F18" t="s">
        <v>28</v>
      </c>
    </row>
    <row r="19" spans="3:17" x14ac:dyDescent="0.45">
      <c r="C19" t="s">
        <v>1</v>
      </c>
      <c r="D19" s="12">
        <v>31.25</v>
      </c>
      <c r="E19" s="1">
        <f>D19*H6</f>
        <v>26.578125</v>
      </c>
      <c r="F19" s="5">
        <v>516</v>
      </c>
      <c r="O19" s="4" t="s">
        <v>10</v>
      </c>
      <c r="Q19">
        <f>E13/E19</f>
        <v>-0.78681246325684917</v>
      </c>
    </row>
    <row r="20" spans="3:17" x14ac:dyDescent="0.45">
      <c r="C20" t="s">
        <v>2</v>
      </c>
      <c r="D20" s="12">
        <v>89.84</v>
      </c>
      <c r="E20" s="1">
        <f>D20*H6</f>
        <v>76.408920000000009</v>
      </c>
      <c r="F20" s="5">
        <v>357</v>
      </c>
      <c r="Q20">
        <f>E14/E20</f>
        <v>3.1185005467948179</v>
      </c>
    </row>
    <row r="21" spans="3:17" x14ac:dyDescent="0.45">
      <c r="C21" t="s">
        <v>18</v>
      </c>
      <c r="D21" s="13">
        <v>6.3239999999999998</v>
      </c>
      <c r="E21" s="1">
        <f>D21*I6</f>
        <v>5.8908059999999995</v>
      </c>
      <c r="F21" s="5">
        <v>754</v>
      </c>
      <c r="Q21">
        <f>E15/E21</f>
        <v>-0.84356178084965061</v>
      </c>
    </row>
    <row r="23" spans="3:17" x14ac:dyDescent="0.45">
      <c r="D23" t="s">
        <v>0</v>
      </c>
      <c r="E23" t="s">
        <v>12</v>
      </c>
      <c r="F23" t="s">
        <v>14</v>
      </c>
      <c r="G23" t="s">
        <v>13</v>
      </c>
      <c r="H23" t="s">
        <v>16</v>
      </c>
    </row>
    <row r="24" spans="3:17" x14ac:dyDescent="0.45">
      <c r="C24" t="s">
        <v>5</v>
      </c>
      <c r="D24" s="1">
        <f>D6+G24</f>
        <v>13714.73</v>
      </c>
      <c r="E24">
        <f>ROUNDDOWN(Q19,0)</f>
        <v>0</v>
      </c>
      <c r="F24">
        <f>E24+F19</f>
        <v>516</v>
      </c>
      <c r="G24" s="1">
        <f>E24*E19</f>
        <v>0</v>
      </c>
      <c r="H24" s="6">
        <f>G24/H6</f>
        <v>0</v>
      </c>
      <c r="I24" s="11">
        <f>1/D27*D24</f>
        <v>0.30034741500429829</v>
      </c>
    </row>
    <row r="25" spans="3:17" x14ac:dyDescent="0.45">
      <c r="C25" t="s">
        <v>6</v>
      </c>
      <c r="D25" s="1">
        <f>D7+G25</f>
        <v>27514.606760000002</v>
      </c>
      <c r="E25">
        <f>ROUNDDOWN(Q20,0)</f>
        <v>3</v>
      </c>
      <c r="F25">
        <f t="shared" ref="F25:F26" si="3">E25+F20</f>
        <v>360</v>
      </c>
      <c r="G25" s="1">
        <f>E25*E20</f>
        <v>229.22676000000001</v>
      </c>
      <c r="H25" s="6">
        <f>G25/I6</f>
        <v>246.08347826086958</v>
      </c>
      <c r="I25" s="11">
        <f>1/D27*D25</f>
        <v>0.60255951194269164</v>
      </c>
    </row>
    <row r="26" spans="3:17" ht="14.65" thickBot="1" x14ac:dyDescent="0.5">
      <c r="C26" t="s">
        <v>19</v>
      </c>
      <c r="D26" s="10">
        <f>D8+G26</f>
        <v>4433.55</v>
      </c>
      <c r="E26">
        <f>ROUNDDOWN(Q21,0)</f>
        <v>0</v>
      </c>
      <c r="F26">
        <f t="shared" si="3"/>
        <v>754</v>
      </c>
      <c r="G26" s="10">
        <f>E26*E21</f>
        <v>0</v>
      </c>
      <c r="H26" s="9">
        <f>G26/I6</f>
        <v>0</v>
      </c>
      <c r="I26" s="15">
        <f>1/D27*D26</f>
        <v>9.7093073053009918E-2</v>
      </c>
    </row>
    <row r="27" spans="3:17" x14ac:dyDescent="0.45">
      <c r="C27" t="s">
        <v>15</v>
      </c>
      <c r="D27" s="1">
        <f>SUM(D24:D26)</f>
        <v>45662.886760000009</v>
      </c>
      <c r="G27" s="1">
        <f>SUM(G24:G26)</f>
        <v>229.22676000000001</v>
      </c>
      <c r="H27" s="6"/>
      <c r="I27" s="8">
        <f>SUM(I24:I26)</f>
        <v>0.99999999999999989</v>
      </c>
    </row>
    <row r="28" spans="3:17" x14ac:dyDescent="0.45">
      <c r="H28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Aufteilungsrechner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Bollazzi</dc:creator>
  <cp:lastModifiedBy>Leonardo Bollazzi</cp:lastModifiedBy>
  <dcterms:created xsi:type="dcterms:W3CDTF">2023-12-04T20:50:12Z</dcterms:created>
  <dcterms:modified xsi:type="dcterms:W3CDTF">2024-01-03T09:24:22Z</dcterms:modified>
</cp:coreProperties>
</file>